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Projects\Fan\INFO-6156_Capstone\6156_Components\Teaching &amp; Learning Materials\Templates\"/>
    </mc:Choice>
  </mc:AlternateContent>
  <xr:revisionPtr revIDLastSave="0" documentId="13_ncr:1_{B25A1D44-AA04-4444-B253-22FCB0323875}" xr6:coauthVersionLast="47" xr6:coauthVersionMax="47" xr10:uidLastSave="{00000000-0000-0000-0000-000000000000}"/>
  <bookViews>
    <workbookView xWindow="5760" yWindow="447" windowWidth="19140" windowHeight="12313" xr2:uid="{00000000-000D-0000-FFFF-FFFF00000000}"/>
  </bookViews>
  <sheets>
    <sheet name="Sprint Backlog" sheetId="2" r:id="rId1"/>
    <sheet name="Burndown" sheetId="7" r:id="rId2"/>
  </sheets>
  <definedNames>
    <definedName name="Slicer_Assigned_To">#N/A</definedName>
    <definedName name="Slicer_Status">#N/A</definedName>
    <definedName name="Slicer_Story_I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2" l="1"/>
  <c r="J31" i="2"/>
  <c r="K31" i="2"/>
  <c r="L31" i="2"/>
  <c r="M31" i="2"/>
  <c r="N31" i="2"/>
  <c r="O31" i="2"/>
  <c r="P16" i="2" l="1"/>
  <c r="F16" i="2" s="1"/>
  <c r="P17" i="2"/>
  <c r="F17" i="2" s="1"/>
  <c r="P18" i="2"/>
  <c r="F18" i="2" s="1"/>
  <c r="P19" i="2"/>
  <c r="F19" i="2" s="1"/>
  <c r="P20" i="2"/>
  <c r="F20" i="2" s="1"/>
  <c r="P21" i="2"/>
  <c r="F21" i="2" s="1"/>
  <c r="P22" i="2"/>
  <c r="F22" i="2" s="1"/>
  <c r="P23" i="2"/>
  <c r="F23" i="2" s="1"/>
  <c r="P24" i="2"/>
  <c r="F24" i="2" s="1"/>
  <c r="P25" i="2"/>
  <c r="F25" i="2" s="1"/>
  <c r="P26" i="2"/>
  <c r="F26" i="2" s="1"/>
  <c r="P27" i="2"/>
  <c r="F27" i="2" s="1"/>
  <c r="P28" i="2"/>
  <c r="F28" i="2" s="1"/>
  <c r="P29" i="2"/>
  <c r="F29" i="2" s="1"/>
  <c r="P30" i="2"/>
  <c r="F30" i="2" s="1"/>
  <c r="P31" i="2" l="1"/>
  <c r="G31" i="2"/>
  <c r="H31" i="2" s="1"/>
  <c r="G14" i="2" l="1"/>
</calcChain>
</file>

<file path=xl/sharedStrings.xml><?xml version="1.0" encoding="utf-8"?>
<sst xmlns="http://schemas.openxmlformats.org/spreadsheetml/2006/main" count="48" uniqueCount="21">
  <si>
    <t>ID</t>
  </si>
  <si>
    <t>Status</t>
  </si>
  <si>
    <t>Dev One</t>
  </si>
  <si>
    <t>Dev Two</t>
  </si>
  <si>
    <t>Story ID</t>
  </si>
  <si>
    <t>Task Description</t>
  </si>
  <si>
    <t>Assigned To</t>
  </si>
  <si>
    <t>Estimate</t>
  </si>
  <si>
    <t>Remaining</t>
  </si>
  <si>
    <t>Sprint Backlog</t>
  </si>
  <si>
    <t>An explicit, succinct description of the task to be completed.</t>
  </si>
  <si>
    <t xml:space="preserve">WORK REMAINING: </t>
  </si>
  <si>
    <t>IDEAL PATH:</t>
  </si>
  <si>
    <t>2024-05-13</t>
  </si>
  <si>
    <t>2024-05-14</t>
  </si>
  <si>
    <t>2024-05-15</t>
  </si>
  <si>
    <t>2024-05-16</t>
  </si>
  <si>
    <t>2024-05-17</t>
  </si>
  <si>
    <t>2024-05-18</t>
  </si>
  <si>
    <t>2024-05-19</t>
  </si>
  <si>
    <t>2024-05-20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</si>
</sst>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Montserrat"/>
      <family val="2"/>
      <scheme val="minor"/>
    </font>
    <font>
      <b/>
      <sz val="11"/>
      <color theme="1"/>
      <name val="Montserrat"/>
      <family val="2"/>
      <scheme val="minor"/>
    </font>
    <font>
      <b/>
      <sz val="14"/>
      <color theme="1"/>
      <name val="Montserra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164" fontId="1" fillId="0" borderId="0" xfId="0" applyNumberFormat="1" applyFont="1"/>
    <xf numFmtId="0" fontId="2" fillId="0" borderId="0" xfId="0" applyFon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0" fillId="0" borderId="0" xfId="0" applyAlignment="1">
      <alignment horizontal="right"/>
    </xf>
    <xf numFmtId="2" fontId="0" fillId="0" borderId="0" xfId="0" applyNumberFormat="1"/>
    <xf numFmtId="2" fontId="0" fillId="0" borderId="0" xfId="0" applyNumberFormat="1" applyAlignment="1">
      <alignment wrapText="1"/>
    </xf>
  </cellXfs>
  <cellStyles count="1">
    <cellStyle name="Normal" xfId="0" builtinId="0"/>
  </cellStyles>
  <dxfs count="19">
    <dxf>
      <alignment horizontal="right" vertical="bottom" textRotation="0" wrapText="0" indent="0" justifyLastLine="0" shrinkToFit="0" readingOrder="0"/>
    </dxf>
    <dxf>
      <alignment horizontal="general" vertical="bottom" textRotation="0" wrapText="1" indent="0" justifyLastLine="0" shrinkToFit="0" readingOrder="0"/>
    </dxf>
    <dxf>
      <numFmt numFmtId="0" formatCode="General"/>
      <fill>
        <patternFill patternType="none">
          <fgColor indexed="64"/>
          <bgColor auto="1"/>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auto="1"/>
        </patternFill>
      </fill>
    </dxf>
    <dxf>
      <numFmt numFmtId="0" formatCode="General"/>
      <fill>
        <patternFill patternType="none">
          <fgColor indexed="64"/>
          <bgColor indexed="65"/>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Montserrat"/>
        <scheme val="minor"/>
      </font>
      <fill>
        <patternFill patternType="none">
          <fgColor indexed="64"/>
          <bgColor auto="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CA"/>
              <a:t>Burndown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no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'Sprint Backlog'!$G$15:$O$15</c:f>
              <c:strCache>
                <c:ptCount val="9"/>
                <c:pt idx="0">
                  <c:v>Estimate</c:v>
                </c:pt>
                <c:pt idx="1">
                  <c:v>2024-05-13</c:v>
                </c:pt>
                <c:pt idx="2">
                  <c:v>2024-05-14</c:v>
                </c:pt>
                <c:pt idx="3">
                  <c:v>2024-05-15</c:v>
                </c:pt>
                <c:pt idx="4">
                  <c:v>2024-05-16</c:v>
                </c:pt>
                <c:pt idx="5">
                  <c:v>2024-05-17</c:v>
                </c:pt>
                <c:pt idx="6">
                  <c:v>2024-05-18</c:v>
                </c:pt>
                <c:pt idx="7">
                  <c:v>2024-05-19</c:v>
                </c:pt>
                <c:pt idx="8">
                  <c:v>2024-05-20</c:v>
                </c:pt>
              </c:strCache>
            </c:strRef>
          </c:cat>
          <c:val>
            <c:numRef>
              <c:f>'Sprint Backlog'!$G$31:$O$31</c:f>
              <c:numCache>
                <c:formatCode>General</c:formatCode>
                <c:ptCount val="9"/>
                <c:pt idx="0">
                  <c:v>111.5</c:v>
                </c:pt>
                <c:pt idx="1">
                  <c:v>110.5</c:v>
                </c:pt>
                <c:pt idx="2">
                  <c:v>#N/A</c:v>
                </c:pt>
                <c:pt idx="3">
                  <c:v>#N/A</c:v>
                </c:pt>
                <c:pt idx="4">
                  <c:v>#N/A</c:v>
                </c:pt>
                <c:pt idx="5">
                  <c:v>#N/A</c:v>
                </c:pt>
                <c:pt idx="6">
                  <c:v>#N/A</c:v>
                </c:pt>
                <c:pt idx="7">
                  <c:v>#N/A</c:v>
                </c:pt>
                <c:pt idx="8">
                  <c:v>#N/A</c:v>
                </c:pt>
              </c:numCache>
            </c:numRef>
          </c:val>
          <c:smooth val="0"/>
          <c:extLst>
            <c:ext xmlns:c16="http://schemas.microsoft.com/office/drawing/2014/chart" uri="{C3380CC4-5D6E-409C-BE32-E72D297353CC}">
              <c16:uniqueId val="{00000000-9912-4440-A556-4C89382DE7BD}"/>
            </c:ext>
          </c:extLst>
        </c:ser>
        <c:ser>
          <c:idx val="1"/>
          <c:order val="1"/>
          <c:tx>
            <c:v>Ideal Path</c:v>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no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'Sprint Backlog'!$G$14:$O$14</c:f>
              <c:numCache>
                <c:formatCode>0.00</c:formatCode>
                <c:ptCount val="9"/>
                <c:pt idx="0">
                  <c:v>111.5</c:v>
                </c:pt>
                <c:pt idx="8">
                  <c:v>0</c:v>
                </c:pt>
              </c:numCache>
            </c:numRef>
          </c:val>
          <c:smooth val="0"/>
          <c:extLst>
            <c:ext xmlns:c16="http://schemas.microsoft.com/office/drawing/2014/chart" uri="{C3380CC4-5D6E-409C-BE32-E72D297353CC}">
              <c16:uniqueId val="{00000001-9912-4440-A556-4C89382DE7BD}"/>
            </c:ext>
          </c:extLst>
        </c:ser>
        <c:dLbls>
          <c:showLegendKey val="0"/>
          <c:showVal val="1"/>
          <c:showCatName val="0"/>
          <c:showSerName val="0"/>
          <c:showPercent val="0"/>
          <c:showBubbleSize val="0"/>
        </c:dLbls>
        <c:smooth val="0"/>
        <c:axId val="215352672"/>
        <c:axId val="215353232"/>
      </c:lineChart>
      <c:dateAx>
        <c:axId val="215352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5353232"/>
        <c:crosses val="autoZero"/>
        <c:auto val="0"/>
        <c:lblOffset val="100"/>
        <c:baseTimeUnit val="days"/>
      </c:dateAx>
      <c:valAx>
        <c:axId val="215353232"/>
        <c:scaling>
          <c:orientation val="minMax"/>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one"/>
        <c:crossAx val="215352672"/>
        <c:crosses val="autoZero"/>
        <c:crossBetween val="between"/>
      </c:valAx>
      <c:spPr>
        <a:noFill/>
        <a:ln>
          <a:noFill/>
        </a:ln>
        <a:effectLst/>
      </c:spPr>
    </c:plotArea>
    <c:plotVisOnly val="0"/>
    <c:dispBlanksAs val="span"/>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2</xdr:row>
      <xdr:rowOff>0</xdr:rowOff>
    </xdr:from>
    <xdr:to>
      <xdr:col>3</xdr:col>
      <xdr:colOff>609600</xdr:colOff>
      <xdr:row>11</xdr:row>
      <xdr:rowOff>30479</xdr:rowOff>
    </xdr:to>
    <mc:AlternateContent xmlns:mc="http://schemas.openxmlformats.org/markup-compatibility/2006" xmlns:sle15="http://schemas.microsoft.com/office/drawing/2012/slicer">
      <mc:Choice Requires="sle15">
        <xdr:graphicFrame macro="">
          <xdr:nvGraphicFramePr>
            <xdr:cNvPr id="2" name="Story ID">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Story ID"/>
            </a:graphicData>
          </a:graphic>
        </xdr:graphicFrame>
      </mc:Choice>
      <mc:Fallback xmlns="">
        <xdr:sp macro="" textlink="">
          <xdr:nvSpPr>
            <xdr:cNvPr id="2" name="Rectangle 1"/>
            <xdr:cNvSpPr>
              <a:spLocks noTextEdit="1"/>
            </xdr:cNvSpPr>
          </xdr:nvSpPr>
          <xdr:spPr>
            <a:xfrm>
              <a:off x="76200" y="342900"/>
              <a:ext cx="1859280" cy="1935479"/>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2588895</xdr:colOff>
      <xdr:row>2</xdr:row>
      <xdr:rowOff>0</xdr:rowOff>
    </xdr:from>
    <xdr:to>
      <xdr:col>4</xdr:col>
      <xdr:colOff>240983</xdr:colOff>
      <xdr:row>11</xdr:row>
      <xdr:rowOff>33528</xdr:rowOff>
    </xdr:to>
    <mc:AlternateContent xmlns:mc="http://schemas.openxmlformats.org/markup-compatibility/2006" xmlns:sle15="http://schemas.microsoft.com/office/drawing/2012/slicer">
      <mc:Choice Requires="sle15">
        <xdr:graphicFrame macro="">
          <xdr:nvGraphicFramePr>
            <xdr:cNvPr id="3" name="Assigned To">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3893820" y="352425"/>
              <a:ext cx="1714500" cy="2014728"/>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632460</xdr:colOff>
      <xdr:row>2</xdr:row>
      <xdr:rowOff>1</xdr:rowOff>
    </xdr:from>
    <xdr:to>
      <xdr:col>3</xdr:col>
      <xdr:colOff>2461260</xdr:colOff>
      <xdr:row>11</xdr:row>
      <xdr:rowOff>33529</xdr:rowOff>
    </xdr:to>
    <mc:AlternateContent xmlns:mc="http://schemas.openxmlformats.org/markup-compatibility/2006" xmlns:sle15="http://schemas.microsoft.com/office/drawing/2012/slicer">
      <mc:Choice Requires="sle15">
        <xdr:graphicFrame macro="">
          <xdr:nvGraphicFramePr>
            <xdr:cNvPr id="7" name="Status">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4" name="Rectangle 3"/>
            <xdr:cNvSpPr>
              <a:spLocks noTextEdit="1"/>
            </xdr:cNvSpPr>
          </xdr:nvSpPr>
          <xdr:spPr>
            <a:xfrm>
              <a:off x="1958340" y="342901"/>
              <a:ext cx="1828800" cy="1938528"/>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xdr:from>
      <xdr:col>5</xdr:col>
      <xdr:colOff>411480</xdr:colOff>
      <xdr:row>2</xdr:row>
      <xdr:rowOff>34290</xdr:rowOff>
    </xdr:from>
    <xdr:to>
      <xdr:col>10</xdr:col>
      <xdr:colOff>845820</xdr:colOff>
      <xdr:row>12</xdr:row>
      <xdr:rowOff>144018</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y_ID" xr10:uid="{00000000-0013-0000-FFFF-FFFF01000000}" sourceName="Story ID">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00000000-0013-0000-FFFF-FFFF02000000}" sourceName="Assigned To">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3000000}" sourceName="Status">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y ID" xr10:uid="{00000000-0014-0000-FFFF-FFFF01000000}" cache="Slicer_Story_ID" caption="Story ID" rowHeight="234950"/>
  <slicer name="Assigned To" xr10:uid="{00000000-0014-0000-FFFF-FFFF02000000}" cache="Slicer_Assigned_To" caption="Assigned To" rowHeight="234950"/>
  <slicer name="Status" xr10:uid="{00000000-0014-0000-FFFF-FFFF03000000}"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itial" displayName="Initial" ref="B15:P31" totalsRowCount="1" headerRowDxfId="18" dataDxfId="17">
  <autoFilter ref="B15:P30" xr:uid="{00000000-0009-0000-0100-000002000000}"/>
  <tableColumns count="15">
    <tableColumn id="1" xr3:uid="{00000000-0010-0000-0000-000001000000}" name="ID" dataDxfId="16"/>
    <tableColumn id="2" xr3:uid="{00000000-0010-0000-0000-000002000000}" name="Story ID" dataDxfId="15"/>
    <tableColumn id="3" xr3:uid="{00000000-0010-0000-0000-000003000000}" name="Task Description" dataDxfId="14" totalsRowDxfId="1"/>
    <tableColumn id="4" xr3:uid="{00000000-0010-0000-0000-000004000000}" name="Assigned To" dataDxfId="13"/>
    <tableColumn id="5" xr3:uid="{00000000-0010-0000-0000-000005000000}" name="Status" totalsRowLabel="WORK REMAINING: " dataDxfId="12" totalsRowDxfId="0">
      <calculatedColumnFormula>IF(Initial[[#This Row],[Estimate]]=Initial[[#This Row],[Remaining]],"Not Started",IF(Initial[[#This Row],[Remaining]]=0,"Complete","In Progress"))</calculatedColumnFormula>
    </tableColumn>
    <tableColumn id="6" xr3:uid="{00000000-0010-0000-0000-000006000000}" name="Estimate" totalsRowFunction="sum" dataDxfId="11"/>
    <tableColumn id="9" xr3:uid="{00000000-0010-0000-0000-000009000000}" name="2024-05-13" totalsRowFunction="custom" dataDxfId="10">
      <totalsRowFormula>IF(COUNTA(Initial[2024-05-13])&gt;0,Initial[[#Totals],[Estimate]]-SUBTOTAL(109,Initial[2024-05-13]),NA())</totalsRowFormula>
    </tableColumn>
    <tableColumn id="10" xr3:uid="{00000000-0010-0000-0000-00000A000000}" name="2024-05-14" totalsRowFunction="custom" dataDxfId="9">
      <totalsRowFormula>IF(COUNTA(Initial[2024-05-14])&gt;0,Initial[[#Totals],[2024-05-13]]-SUBTOTAL(109,Initial[2024-05-14]),NA())</totalsRowFormula>
    </tableColumn>
    <tableColumn id="11" xr3:uid="{00000000-0010-0000-0000-00000B000000}" name="2024-05-15" totalsRowFunction="custom" dataDxfId="8">
      <totalsRowFormula>IF(COUNTA(Initial[2024-05-15])&gt;0,Initial[[#Totals],[2024-05-14]]-SUBTOTAL(109,Initial[2024-05-15]),NA())</totalsRowFormula>
    </tableColumn>
    <tableColumn id="12" xr3:uid="{00000000-0010-0000-0000-00000C000000}" name="2024-05-16" totalsRowFunction="custom" dataDxfId="7">
      <totalsRowFormula>IF(COUNTA(Initial[2024-05-16])&gt;0,Initial[[#Totals],[2024-05-15]]-SUBTOTAL(109,Initial[2024-05-16]),NA())</totalsRowFormula>
    </tableColumn>
    <tableColumn id="13" xr3:uid="{00000000-0010-0000-0000-00000D000000}" name="2024-05-17" totalsRowFunction="custom" dataDxfId="6">
      <totalsRowFormula>IF(COUNTA(Initial[2024-05-17])&gt;0,Initial[[#Totals],[2024-05-16]]-SUBTOTAL(109,Initial[2024-05-17]),NA())</totalsRowFormula>
    </tableColumn>
    <tableColumn id="14" xr3:uid="{00000000-0010-0000-0000-00000E000000}" name="2024-05-18" totalsRowFunction="custom" dataDxfId="5">
      <totalsRowFormula>IF(COUNTA(Initial[2024-05-18])&gt;0,Initial[[#Totals],[2024-05-17]]-SUBTOTAL(109,Initial[2024-05-18]),NA())</totalsRowFormula>
    </tableColumn>
    <tableColumn id="16" xr3:uid="{00000000-0010-0000-0000-000010000000}" name="2024-05-19" totalsRowFunction="custom" dataDxfId="4">
      <totalsRowFormula>IF(COUNTA(Initial[2024-05-19])&gt;0,Initial[[#Totals],[2024-05-18]]-SUBTOTAL(109,Initial[2024-05-19]),NA())</totalsRowFormula>
    </tableColumn>
    <tableColumn id="15" xr3:uid="{00000000-0010-0000-0000-00000F000000}" name="2024-05-20" totalsRowFunction="custom" dataDxfId="3">
      <totalsRowFormula>IF(COUNTA(Initial[2024-05-20])&gt;0,Initial[[#Totals],[2024-05-19]]-SUBTOTAL(109,Initial[2024-05-20]),NA())</totalsRowFormula>
    </tableColumn>
    <tableColumn id="8" xr3:uid="{00000000-0010-0000-0000-000008000000}" name="Remaining" totalsRowFunction="sum" dataDxfId="2">
      <calculatedColumnFormula>Initial[[#This Row],[Estimate]]-SUM(Initial[[#This Row],[2024-05-13]:[2024-05-20]])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Fanshawe_Theme">
  <a:themeElements>
    <a:clrScheme name="Custom 1">
      <a:dk1>
        <a:srgbClr val="000000"/>
      </a:dk1>
      <a:lt1>
        <a:srgbClr val="FFFFFF"/>
      </a:lt1>
      <a:dk2>
        <a:srgbClr val="636369"/>
      </a:dk2>
      <a:lt2>
        <a:srgbClr val="DEDEDE"/>
      </a:lt2>
      <a:accent1>
        <a:srgbClr val="E12319"/>
      </a:accent1>
      <a:accent2>
        <a:srgbClr val="E12319"/>
      </a:accent2>
      <a:accent3>
        <a:srgbClr val="B2272C"/>
      </a:accent3>
      <a:accent4>
        <a:srgbClr val="A02B2F"/>
      </a:accent4>
      <a:accent5>
        <a:srgbClr val="636369"/>
      </a:accent5>
      <a:accent6>
        <a:srgbClr val="636369"/>
      </a:accent6>
      <a:hlink>
        <a:srgbClr val="E12319"/>
      </a:hlink>
      <a:folHlink>
        <a:srgbClr val="B2272C"/>
      </a:folHlink>
    </a:clrScheme>
    <a:fontScheme name="Test">
      <a:majorFont>
        <a:latin typeface="Montserrat"/>
        <a:ea typeface=""/>
        <a:cs typeface=""/>
      </a:majorFont>
      <a:minorFont>
        <a:latin typeface="Montserrat"/>
        <a:ea typeface=""/>
        <a:cs typeface=""/>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anshawe_Theme" id="{2AB755E2-F30A-4603-8A1A-32DAE8137AE7}" vid="{AABFD89F-415E-4566-8E83-047AA5154A64}"/>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33"/>
  <sheetViews>
    <sheetView tabSelected="1" workbookViewId="0">
      <selection activeCell="E2" sqref="E2"/>
    </sheetView>
  </sheetViews>
  <sheetFormatPr defaultRowHeight="17" x14ac:dyDescent="0.7"/>
  <cols>
    <col min="1" max="1" width="0.90625" customWidth="1"/>
    <col min="2" max="2" width="4.6796875" customWidth="1"/>
    <col min="3" max="3" width="9.6796875" customWidth="1"/>
    <col min="4" max="4" width="48.08984375" style="1" customWidth="1"/>
    <col min="5" max="5" width="13" customWidth="1"/>
    <col min="6" max="6" width="11.36328125" customWidth="1"/>
    <col min="7" max="7" width="10.58984375" customWidth="1"/>
    <col min="8" max="15" width="12.6796875" customWidth="1"/>
    <col min="16" max="16" width="12" customWidth="1"/>
    <col min="17" max="19" width="7.36328125" customWidth="1"/>
    <col min="20" max="20" width="10.6796875" customWidth="1"/>
    <col min="21" max="21" width="3" customWidth="1"/>
    <col min="22" max="22" width="10.6796875" customWidth="1"/>
  </cols>
  <sheetData>
    <row r="1" spans="2:16" ht="6" customHeight="1" x14ac:dyDescent="0.7"/>
    <row r="2" spans="2:16" ht="21.35" x14ac:dyDescent="0.85">
      <c r="B2" s="5" t="s">
        <v>9</v>
      </c>
      <c r="C2" s="5"/>
      <c r="D2" s="5"/>
      <c r="E2" s="5"/>
      <c r="F2" s="5"/>
      <c r="G2" s="5"/>
      <c r="H2" s="5"/>
      <c r="I2" s="5"/>
      <c r="J2" s="5"/>
      <c r="K2" s="5"/>
      <c r="L2" s="5"/>
      <c r="M2" s="5"/>
      <c r="N2" s="5"/>
      <c r="O2" s="5"/>
      <c r="P2" s="5"/>
    </row>
    <row r="14" spans="2:16" s="14" customFormat="1" x14ac:dyDescent="0.7">
      <c r="D14" s="15"/>
      <c r="F14" s="14" t="s">
        <v>12</v>
      </c>
      <c r="G14" s="14">
        <f>Initial[[#Totals],[Estimate]]</f>
        <v>111.5</v>
      </c>
      <c r="O14" s="14">
        <v>0</v>
      </c>
    </row>
    <row r="15" spans="2:16" x14ac:dyDescent="0.7">
      <c r="B15" s="3" t="s">
        <v>0</v>
      </c>
      <c r="C15" s="3" t="s">
        <v>4</v>
      </c>
      <c r="D15" s="2" t="s">
        <v>5</v>
      </c>
      <c r="E15" s="3" t="s">
        <v>6</v>
      </c>
      <c r="F15" s="3" t="s">
        <v>1</v>
      </c>
      <c r="G15" s="3" t="s">
        <v>7</v>
      </c>
      <c r="H15" s="4" t="s">
        <v>13</v>
      </c>
      <c r="I15" s="4" t="s">
        <v>14</v>
      </c>
      <c r="J15" s="4" t="s">
        <v>15</v>
      </c>
      <c r="K15" s="4" t="s">
        <v>16</v>
      </c>
      <c r="L15" s="4" t="s">
        <v>17</v>
      </c>
      <c r="M15" s="4" t="s">
        <v>18</v>
      </c>
      <c r="N15" s="4" t="s">
        <v>19</v>
      </c>
      <c r="O15" s="4" t="s">
        <v>20</v>
      </c>
      <c r="P15" s="3" t="s">
        <v>8</v>
      </c>
    </row>
    <row r="16" spans="2:16" x14ac:dyDescent="0.7">
      <c r="B16">
        <v>1</v>
      </c>
      <c r="C16">
        <v>1</v>
      </c>
      <c r="D16" s="1" t="s">
        <v>10</v>
      </c>
      <c r="E16" t="s">
        <v>2</v>
      </c>
      <c r="F16" t="str">
        <f>IF(Initial[[#This Row],[Estimate]]=Initial[[#This Row],[Remaining]],"Not Started",IF(Initial[[#This Row],[Remaining]]=0,"Complete","In Progress"))</f>
        <v>Not Started</v>
      </c>
      <c r="G16">
        <v>10</v>
      </c>
      <c r="H16">
        <v>0</v>
      </c>
      <c r="P16">
        <f>Initial[[#This Row],[Estimate]]-SUM(Initial[[#This Row],[2024-05-13]:[2024-05-20]])</f>
        <v>10</v>
      </c>
    </row>
    <row r="17" spans="2:16" x14ac:dyDescent="0.7">
      <c r="B17">
        <v>2</v>
      </c>
      <c r="C17">
        <v>1</v>
      </c>
      <c r="D17" s="1" t="s">
        <v>10</v>
      </c>
      <c r="E17" t="s">
        <v>3</v>
      </c>
      <c r="F17" t="str">
        <f>IF(Initial[[#This Row],[Estimate]]=Initial[[#This Row],[Remaining]],"Not Started",IF(Initial[[#This Row],[Remaining]]=0,"Complete","In Progress"))</f>
        <v>Not Started</v>
      </c>
      <c r="G17">
        <v>7</v>
      </c>
      <c r="H17">
        <v>0</v>
      </c>
      <c r="P17">
        <f>Initial[[#This Row],[Estimate]]-SUM(Initial[[#This Row],[2024-05-13]:[2024-05-20]])</f>
        <v>7</v>
      </c>
    </row>
    <row r="18" spans="2:16" x14ac:dyDescent="0.7">
      <c r="B18">
        <v>3</v>
      </c>
      <c r="C18">
        <v>1</v>
      </c>
      <c r="D18" s="1" t="s">
        <v>10</v>
      </c>
      <c r="E18" t="s">
        <v>2</v>
      </c>
      <c r="F18" t="str">
        <f>IF(Initial[[#This Row],[Estimate]]=Initial[[#This Row],[Remaining]],"Not Started",IF(Initial[[#This Row],[Remaining]]=0,"Complete","In Progress"))</f>
        <v>Not Started</v>
      </c>
      <c r="G18">
        <v>12</v>
      </c>
      <c r="H18">
        <v>0</v>
      </c>
      <c r="P18">
        <f>Initial[[#This Row],[Estimate]]-SUM(Initial[[#This Row],[2024-05-13]:[2024-05-20]])</f>
        <v>12</v>
      </c>
    </row>
    <row r="19" spans="2:16" x14ac:dyDescent="0.7">
      <c r="B19">
        <v>4</v>
      </c>
      <c r="C19">
        <v>1</v>
      </c>
      <c r="D19" s="1" t="s">
        <v>10</v>
      </c>
      <c r="E19" t="s">
        <v>2</v>
      </c>
      <c r="F19" t="str">
        <f>IF(Initial[[#This Row],[Estimate]]=Initial[[#This Row],[Remaining]],"Not Started",IF(Initial[[#This Row],[Remaining]]=0,"Complete","In Progress"))</f>
        <v>Not Started</v>
      </c>
      <c r="G19">
        <v>11</v>
      </c>
      <c r="H19">
        <v>0</v>
      </c>
      <c r="P19">
        <f>Initial[[#This Row],[Estimate]]-SUM(Initial[[#This Row],[2024-05-13]:[2024-05-20]])</f>
        <v>11</v>
      </c>
    </row>
    <row r="20" spans="2:16" x14ac:dyDescent="0.7">
      <c r="B20">
        <v>5</v>
      </c>
      <c r="C20">
        <v>2</v>
      </c>
      <c r="D20" s="1" t="s">
        <v>10</v>
      </c>
      <c r="E20" t="s">
        <v>2</v>
      </c>
      <c r="F20" t="str">
        <f>IF(Initial[[#This Row],[Estimate]]=Initial[[#This Row],[Remaining]],"Not Started",IF(Initial[[#This Row],[Remaining]]=0,"Complete","In Progress"))</f>
        <v>Not Started</v>
      </c>
      <c r="G20">
        <v>1</v>
      </c>
      <c r="H20">
        <v>0</v>
      </c>
      <c r="P20">
        <f>Initial[[#This Row],[Estimate]]-SUM(Initial[[#This Row],[2024-05-13]:[2024-05-20]])</f>
        <v>1</v>
      </c>
    </row>
    <row r="21" spans="2:16" x14ac:dyDescent="0.7">
      <c r="B21">
        <v>6</v>
      </c>
      <c r="C21">
        <v>2</v>
      </c>
      <c r="D21" s="1" t="s">
        <v>10</v>
      </c>
      <c r="E21" t="s">
        <v>3</v>
      </c>
      <c r="F21" t="str">
        <f>IF(Initial[[#This Row],[Estimate]]=Initial[[#This Row],[Remaining]],"Not Started",IF(Initial[[#This Row],[Remaining]]=0,"Complete","In Progress"))</f>
        <v>Not Started</v>
      </c>
      <c r="G21">
        <v>0.5</v>
      </c>
      <c r="H21">
        <v>0</v>
      </c>
      <c r="P21">
        <f>Initial[[#This Row],[Estimate]]-SUM(Initial[[#This Row],[2024-05-13]:[2024-05-20]])</f>
        <v>0.5</v>
      </c>
    </row>
    <row r="22" spans="2:16" x14ac:dyDescent="0.7">
      <c r="B22">
        <v>7</v>
      </c>
      <c r="C22">
        <v>2</v>
      </c>
      <c r="D22" s="1" t="s">
        <v>10</v>
      </c>
      <c r="E22" t="s">
        <v>3</v>
      </c>
      <c r="F22" t="str">
        <f>IF(Initial[[#This Row],[Estimate]]=Initial[[#This Row],[Remaining]],"Not Started",IF(Initial[[#This Row],[Remaining]]=0,"Complete","In Progress"))</f>
        <v>Not Started</v>
      </c>
      <c r="G22">
        <v>15</v>
      </c>
      <c r="H22">
        <v>0</v>
      </c>
      <c r="P22">
        <f>Initial[[#This Row],[Estimate]]-SUM(Initial[[#This Row],[2024-05-13]:[2024-05-20]])</f>
        <v>15</v>
      </c>
    </row>
    <row r="23" spans="2:16" x14ac:dyDescent="0.7">
      <c r="B23">
        <v>8</v>
      </c>
      <c r="C23">
        <v>2</v>
      </c>
      <c r="D23" s="1" t="s">
        <v>10</v>
      </c>
      <c r="E23" t="s">
        <v>3</v>
      </c>
      <c r="F23" t="str">
        <f>IF(Initial[[#This Row],[Estimate]]=Initial[[#This Row],[Remaining]],"Not Started",IF(Initial[[#This Row],[Remaining]]=0,"Complete","In Progress"))</f>
        <v>Not Started</v>
      </c>
      <c r="G23">
        <v>6</v>
      </c>
      <c r="H23">
        <v>0</v>
      </c>
      <c r="P23">
        <f>Initial[[#This Row],[Estimate]]-SUM(Initial[[#This Row],[2024-05-13]:[2024-05-20]])</f>
        <v>6</v>
      </c>
    </row>
    <row r="24" spans="2:16" x14ac:dyDescent="0.7">
      <c r="B24">
        <v>9</v>
      </c>
      <c r="C24">
        <v>3</v>
      </c>
      <c r="D24" s="1" t="s">
        <v>10</v>
      </c>
      <c r="E24" t="s">
        <v>3</v>
      </c>
      <c r="F24" t="str">
        <f>IF(Initial[[#This Row],[Estimate]]=Initial[[#This Row],[Remaining]],"Not Started",IF(Initial[[#This Row],[Remaining]]=0,"Complete","In Progress"))</f>
        <v>Not Started</v>
      </c>
      <c r="G24">
        <v>3</v>
      </c>
      <c r="H24">
        <v>0</v>
      </c>
      <c r="P24">
        <f>Initial[[#This Row],[Estimate]]-SUM(Initial[[#This Row],[2024-05-13]:[2024-05-20]])</f>
        <v>3</v>
      </c>
    </row>
    <row r="25" spans="2:16" x14ac:dyDescent="0.7">
      <c r="B25">
        <v>10</v>
      </c>
      <c r="C25">
        <v>3</v>
      </c>
      <c r="D25" s="1" t="s">
        <v>10</v>
      </c>
      <c r="E25" t="s">
        <v>3</v>
      </c>
      <c r="F25" t="str">
        <f>IF(Initial[[#This Row],[Estimate]]=Initial[[#This Row],[Remaining]],"Not Started",IF(Initial[[#This Row],[Remaining]]=0,"Complete","In Progress"))</f>
        <v>Not Started</v>
      </c>
      <c r="G25">
        <v>4</v>
      </c>
      <c r="H25">
        <v>0</v>
      </c>
      <c r="P25">
        <f>Initial[[#This Row],[Estimate]]-SUM(Initial[[#This Row],[2024-05-13]:[2024-05-20]])</f>
        <v>4</v>
      </c>
    </row>
    <row r="26" spans="2:16" x14ac:dyDescent="0.7">
      <c r="B26">
        <v>11</v>
      </c>
      <c r="C26">
        <v>3</v>
      </c>
      <c r="D26" s="1" t="s">
        <v>10</v>
      </c>
      <c r="E26" t="s">
        <v>2</v>
      </c>
      <c r="F26" t="str">
        <f>IF(Initial[[#This Row],[Estimate]]=Initial[[#This Row],[Remaining]],"Not Started",IF(Initial[[#This Row],[Remaining]]=0,"Complete","In Progress"))</f>
        <v>Not Started</v>
      </c>
      <c r="G26">
        <v>12</v>
      </c>
      <c r="H26">
        <v>0</v>
      </c>
      <c r="P26">
        <f>Initial[[#This Row],[Estimate]]-SUM(Initial[[#This Row],[2024-05-13]:[2024-05-20]])</f>
        <v>12</v>
      </c>
    </row>
    <row r="27" spans="2:16" x14ac:dyDescent="0.7">
      <c r="B27">
        <v>12</v>
      </c>
      <c r="C27">
        <v>3</v>
      </c>
      <c r="D27" s="1" t="s">
        <v>10</v>
      </c>
      <c r="E27" t="s">
        <v>2</v>
      </c>
      <c r="F27" t="str">
        <f>IF(Initial[[#This Row],[Estimate]]=Initial[[#This Row],[Remaining]],"Not Started",IF(Initial[[#This Row],[Remaining]]=0,"Complete","In Progress"))</f>
        <v>Not Started</v>
      </c>
      <c r="G27">
        <v>11</v>
      </c>
      <c r="H27">
        <v>0</v>
      </c>
      <c r="P27">
        <f>Initial[[#This Row],[Estimate]]-SUM(Initial[[#This Row],[2024-05-13]:[2024-05-20]])</f>
        <v>11</v>
      </c>
    </row>
    <row r="28" spans="2:16" x14ac:dyDescent="0.7">
      <c r="B28">
        <v>13</v>
      </c>
      <c r="C28">
        <v>3</v>
      </c>
      <c r="D28" s="1" t="s">
        <v>10</v>
      </c>
      <c r="E28" t="s">
        <v>2</v>
      </c>
      <c r="F28" t="str">
        <f>IF(Initial[[#This Row],[Estimate]]=Initial[[#This Row],[Remaining]],"Not Started",IF(Initial[[#This Row],[Remaining]]=0,"Complete","In Progress"))</f>
        <v>Not Started</v>
      </c>
      <c r="G28">
        <v>17</v>
      </c>
      <c r="H28">
        <v>0</v>
      </c>
      <c r="P28">
        <f>Initial[[#This Row],[Estimate]]-SUM(Initial[[#This Row],[2024-05-13]:[2024-05-20]])</f>
        <v>17</v>
      </c>
    </row>
    <row r="29" spans="2:16" x14ac:dyDescent="0.7">
      <c r="B29">
        <v>14</v>
      </c>
      <c r="C29">
        <v>3</v>
      </c>
      <c r="D29" s="1" t="s">
        <v>10</v>
      </c>
      <c r="E29" t="s">
        <v>2</v>
      </c>
      <c r="F29" t="str">
        <f>IF(Initial[[#This Row],[Estimate]]=Initial[[#This Row],[Remaining]],"Not Started",IF(Initial[[#This Row],[Remaining]]=0,"Complete","In Progress"))</f>
        <v>Not Started</v>
      </c>
      <c r="G29">
        <v>1</v>
      </c>
      <c r="H29">
        <v>0</v>
      </c>
      <c r="P29">
        <f>Initial[[#This Row],[Estimate]]-SUM(Initial[[#This Row],[2024-05-13]:[2024-05-20]])</f>
        <v>1</v>
      </c>
    </row>
    <row r="30" spans="2:16" x14ac:dyDescent="0.7">
      <c r="B30">
        <v>15</v>
      </c>
      <c r="C30">
        <v>3</v>
      </c>
      <c r="D30" s="1" t="s">
        <v>10</v>
      </c>
      <c r="E30" t="s">
        <v>2</v>
      </c>
      <c r="F30" t="str">
        <f>IF(Initial[[#This Row],[Estimate]]=Initial[[#This Row],[Remaining]],"Not Started",IF(Initial[[#This Row],[Remaining]]=0,"Complete","In Progress"))</f>
        <v>Complete</v>
      </c>
      <c r="G30">
        <v>1</v>
      </c>
      <c r="H30">
        <v>1</v>
      </c>
      <c r="P30">
        <f>Initial[[#This Row],[Estimate]]-SUM(Initial[[#This Row],[2024-05-13]:[2024-05-20]])</f>
        <v>0</v>
      </c>
    </row>
    <row r="31" spans="2:16" x14ac:dyDescent="0.7">
      <c r="F31" s="13" t="s">
        <v>11</v>
      </c>
      <c r="G31">
        <f>SUBTOTAL(109,Initial[Estimate])</f>
        <v>111.5</v>
      </c>
      <c r="H31">
        <f>IF(COUNTA(Initial[2024-05-13])&gt;0,Initial[[#Totals],[Estimate]]-SUBTOTAL(109,Initial[2024-05-13]),NA())</f>
        <v>110.5</v>
      </c>
      <c r="I31" t="e">
        <f>IF(COUNTA(Initial[2024-05-14])&gt;0,Initial[[#Totals],[2024-05-13]]-SUBTOTAL(109,Initial[2024-05-14]),NA())</f>
        <v>#N/A</v>
      </c>
      <c r="J31" t="e">
        <f>IF(COUNTA(Initial[2024-05-15])&gt;0,Initial[[#Totals],[2024-05-14]]-SUBTOTAL(109,Initial[2024-05-15]),NA())</f>
        <v>#N/A</v>
      </c>
      <c r="K31" t="e">
        <f>IF(COUNTA(Initial[2024-05-16])&gt;0,Initial[[#Totals],[2024-05-15]]-SUBTOTAL(109,Initial[2024-05-16]),NA())</f>
        <v>#N/A</v>
      </c>
      <c r="L31" t="e">
        <f>IF(COUNTA(Initial[2024-05-17])&gt;0,Initial[[#Totals],[2024-05-16]]-SUBTOTAL(109,Initial[2024-05-17]),NA())</f>
        <v>#N/A</v>
      </c>
      <c r="M31" t="e">
        <f>IF(COUNTA(Initial[2024-05-18])&gt;0,Initial[[#Totals],[2024-05-17]]-SUBTOTAL(109,Initial[2024-05-18]),NA())</f>
        <v>#N/A</v>
      </c>
      <c r="N31" t="e">
        <f>IF(COUNTA(Initial[2024-05-19])&gt;0,Initial[[#Totals],[2024-05-18]]-SUBTOTAL(109,Initial[2024-05-19]),NA())</f>
        <v>#N/A</v>
      </c>
      <c r="O31" t="e">
        <f>IF(COUNTA(Initial[2024-05-20])&gt;0,Initial[[#Totals],[2024-05-19]]-SUBTOTAL(109,Initial[2024-05-20]),NA())</f>
        <v>#N/A</v>
      </c>
      <c r="P31">
        <f>SUBTOTAL(109,Initial[Remaining])</f>
        <v>110.5</v>
      </c>
    </row>
    <row r="33" spans="17:23" ht="14.45" customHeight="1" x14ac:dyDescent="0.7">
      <c r="Q33" s="1"/>
      <c r="R33" s="1"/>
      <c r="S33" s="1"/>
      <c r="T33" s="1"/>
      <c r="U33" s="1"/>
      <c r="V33" s="1"/>
      <c r="W33" s="1"/>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H25"/>
  <sheetViews>
    <sheetView workbookViewId="0">
      <selection activeCell="B2" sqref="B2"/>
    </sheetView>
  </sheetViews>
  <sheetFormatPr defaultRowHeight="17" x14ac:dyDescent="0.7"/>
  <cols>
    <col min="1" max="1" width="0.90625" customWidth="1"/>
    <col min="2" max="7" width="7.1328125"/>
    <col min="8" max="8" width="20.58984375" customWidth="1"/>
    <col min="9" max="9" width="14.6796875" customWidth="1"/>
    <col min="10" max="10" width="16.36328125" customWidth="1"/>
    <col min="11" max="11" width="12.953125" bestFit="1" customWidth="1"/>
  </cols>
  <sheetData>
    <row r="1" ht="6" customHeight="1" x14ac:dyDescent="0.7"/>
    <row r="18" spans="8:8" x14ac:dyDescent="0.7">
      <c r="H18" s="6"/>
    </row>
    <row r="19" spans="8:8" x14ac:dyDescent="0.7">
      <c r="H19" s="7"/>
    </row>
    <row r="20" spans="8:8" x14ac:dyDescent="0.7">
      <c r="H20" s="8"/>
    </row>
    <row r="21" spans="8:8" x14ac:dyDescent="0.7">
      <c r="H21" s="9"/>
    </row>
    <row r="22" spans="8:8" x14ac:dyDescent="0.7">
      <c r="H22" s="10"/>
    </row>
    <row r="23" spans="8:8" x14ac:dyDescent="0.7">
      <c r="H23" s="11"/>
    </row>
    <row r="24" spans="8:8" x14ac:dyDescent="0.7">
      <c r="H24" s="12"/>
    </row>
    <row r="25" spans="8:8" x14ac:dyDescent="0.7">
      <c r="H2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Sprint Backlog</vt:lpstr>
      <vt:lpstr>Burndown</vt:lpstr>
    </vt:vector>
  </TitlesOfParts>
  <Company>Phoenix Interactive Design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Blain</dc:creator>
  <cp:lastModifiedBy>Jim Cooper</cp:lastModifiedBy>
  <dcterms:created xsi:type="dcterms:W3CDTF">2015-03-19T13:39:15Z</dcterms:created>
  <dcterms:modified xsi:type="dcterms:W3CDTF">2024-03-17T19:22:47Z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